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G:\technolearn_training\29\16_excel\"/>
    </mc:Choice>
  </mc:AlternateContent>
  <xr:revisionPtr revIDLastSave="0" documentId="13_ncr:1_{E8171A37-176D-4C40-82AE-0AE65C1A195A}" xr6:coauthVersionLast="47" xr6:coauthVersionMax="47" xr10:uidLastSave="{00000000-0000-0000-0000-000000000000}"/>
  <bookViews>
    <workbookView xWindow="-120" yWindow="-120" windowWidth="20730" windowHeight="11310" xr2:uid="{11931FB1-CCD1-43E6-944A-3A604490E44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2" i="1" l="1"/>
  <c r="L2" i="1"/>
  <c r="M2" i="1"/>
  <c r="L3" i="1"/>
  <c r="L4" i="1"/>
  <c r="L5" i="1"/>
  <c r="L6" i="1"/>
  <c r="L7" i="1"/>
  <c r="L8" i="1"/>
  <c r="L9" i="1"/>
  <c r="L10" i="1"/>
  <c r="K2" i="1"/>
  <c r="J2" i="1"/>
  <c r="I2" i="1"/>
  <c r="G2" i="1"/>
  <c r="G3" i="1"/>
  <c r="G4" i="1"/>
  <c r="G5" i="1"/>
  <c r="G6" i="1"/>
  <c r="G7" i="1"/>
  <c r="G8" i="1"/>
  <c r="G9" i="1"/>
  <c r="G10" i="1"/>
  <c r="F3" i="1"/>
  <c r="F4" i="1"/>
  <c r="F5" i="1"/>
  <c r="F6" i="1"/>
  <c r="F7" i="1"/>
  <c r="F8" i="1"/>
  <c r="F9" i="1"/>
  <c r="F10" i="1"/>
  <c r="F2" i="1"/>
</calcChain>
</file>

<file path=xl/sharedStrings.xml><?xml version="1.0" encoding="utf-8"?>
<sst xmlns="http://schemas.openxmlformats.org/spreadsheetml/2006/main" count="23" uniqueCount="23">
  <si>
    <t>Name</t>
  </si>
  <si>
    <t>Maths</t>
  </si>
  <si>
    <t>Science</t>
  </si>
  <si>
    <t>English</t>
  </si>
  <si>
    <t>IT</t>
  </si>
  <si>
    <t>Total</t>
  </si>
  <si>
    <t>Rahul</t>
  </si>
  <si>
    <t>Sneha</t>
  </si>
  <si>
    <t>Amit</t>
  </si>
  <si>
    <t>Amol</t>
  </si>
  <si>
    <t>Karan</t>
  </si>
  <si>
    <t>Kartik</t>
  </si>
  <si>
    <t>Ritesh</t>
  </si>
  <si>
    <t>Neha</t>
  </si>
  <si>
    <t>Arjun</t>
  </si>
  <si>
    <t>USING Dax function</t>
  </si>
  <si>
    <t>Average</t>
  </si>
  <si>
    <t>Min Maths</t>
  </si>
  <si>
    <t>Max IT</t>
  </si>
  <si>
    <t xml:space="preserve">Count </t>
  </si>
  <si>
    <t>Pass or Fail (science)</t>
  </si>
  <si>
    <t xml:space="preserve">Count of students GRETER THAN 80 </t>
  </si>
  <si>
    <t>TOTAL  MARKS OF STUDENTS ABOVE 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</si>
</sst>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C7165-A34D-492A-8E64-BE717829674A}">
  <dimension ref="A1:N16"/>
  <sheetViews>
    <sheetView tabSelected="1" topLeftCell="K1" zoomScale="160" zoomScaleNormal="160" workbookViewId="0">
      <selection activeCell="R4" sqref="R4"/>
    </sheetView>
  </sheetViews>
  <sheetFormatPr defaultRowHeight="15" x14ac:dyDescent="0.25"/>
  <sheetData>
    <row r="1" spans="1:14" s="1" customFormat="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16</v>
      </c>
      <c r="I1" s="1" t="s">
        <v>17</v>
      </c>
      <c r="J1" s="1" t="s">
        <v>18</v>
      </c>
      <c r="K1" s="1" t="s">
        <v>19</v>
      </c>
      <c r="L1" s="2" t="s">
        <v>20</v>
      </c>
      <c r="M1" s="1" t="s">
        <v>21</v>
      </c>
      <c r="N1" s="1" t="s">
        <v>22</v>
      </c>
    </row>
    <row r="2" spans="1:14" x14ac:dyDescent="0.25">
      <c r="A2" t="s">
        <v>6</v>
      </c>
      <c r="B2">
        <v>73</v>
      </c>
      <c r="C2">
        <v>48</v>
      </c>
      <c r="D2">
        <v>70</v>
      </c>
      <c r="E2">
        <v>62</v>
      </c>
      <c r="F2">
        <f>SUM(B2:E2)</f>
        <v>253</v>
      </c>
      <c r="G2">
        <f>AVERAGE(B2:E2)</f>
        <v>63.25</v>
      </c>
      <c r="I2">
        <f>MIN(B:B)</f>
        <v>45</v>
      </c>
      <c r="J2">
        <f>MAX(E:E)</f>
        <v>99</v>
      </c>
      <c r="K2">
        <f>COUNT(B2:B10)</f>
        <v>9</v>
      </c>
      <c r="L2" t="str">
        <f>IF(C2&gt;=50,"Pass","Fail")</f>
        <v>Fail</v>
      </c>
      <c r="M2">
        <f>COUNTIF(B2:B9,"&gt;80")</f>
        <v>3</v>
      </c>
      <c r="N2">
        <f>SUMIF(C2:C9,"&gt;=80")</f>
        <v>174</v>
      </c>
    </row>
    <row r="3" spans="1:14" x14ac:dyDescent="0.25">
      <c r="A3" t="s">
        <v>7</v>
      </c>
      <c r="B3">
        <v>81</v>
      </c>
      <c r="C3">
        <v>51</v>
      </c>
      <c r="D3">
        <v>94</v>
      </c>
      <c r="E3">
        <v>56</v>
      </c>
      <c r="F3">
        <f t="shared" ref="F3:F10" si="0">SUM(B3:E3)</f>
        <v>282</v>
      </c>
      <c r="G3">
        <f t="shared" ref="G3:G10" si="1">AVERAGE(B3:E3)</f>
        <v>70.5</v>
      </c>
      <c r="L3" t="str">
        <f t="shared" ref="L2:L10" si="2">IF(C3&gt;=50,"Pass","Fail")</f>
        <v>Pass</v>
      </c>
    </row>
    <row r="4" spans="1:14" x14ac:dyDescent="0.25">
      <c r="A4" t="s">
        <v>8</v>
      </c>
      <c r="B4">
        <v>86</v>
      </c>
      <c r="C4">
        <v>90</v>
      </c>
      <c r="D4">
        <v>91</v>
      </c>
      <c r="E4">
        <v>99</v>
      </c>
      <c r="F4">
        <f t="shared" si="0"/>
        <v>366</v>
      </c>
      <c r="G4">
        <f t="shared" si="1"/>
        <v>91.5</v>
      </c>
      <c r="L4" t="str">
        <f t="shared" si="2"/>
        <v>Pass</v>
      </c>
    </row>
    <row r="5" spans="1:14" x14ac:dyDescent="0.25">
      <c r="A5" t="s">
        <v>9</v>
      </c>
      <c r="B5">
        <v>47</v>
      </c>
      <c r="C5">
        <v>44</v>
      </c>
      <c r="D5">
        <v>69</v>
      </c>
      <c r="E5">
        <v>62</v>
      </c>
      <c r="F5">
        <f t="shared" si="0"/>
        <v>222</v>
      </c>
      <c r="G5">
        <f t="shared" si="1"/>
        <v>55.5</v>
      </c>
      <c r="L5" t="str">
        <f t="shared" si="2"/>
        <v>Fail</v>
      </c>
    </row>
    <row r="6" spans="1:14" x14ac:dyDescent="0.25">
      <c r="A6" t="s">
        <v>10</v>
      </c>
      <c r="B6">
        <v>91</v>
      </c>
      <c r="C6">
        <v>48</v>
      </c>
      <c r="D6">
        <v>77</v>
      </c>
      <c r="E6">
        <v>80</v>
      </c>
      <c r="F6">
        <f t="shared" si="0"/>
        <v>296</v>
      </c>
      <c r="G6">
        <f t="shared" si="1"/>
        <v>74</v>
      </c>
      <c r="L6" t="str">
        <f t="shared" si="2"/>
        <v>Fail</v>
      </c>
    </row>
    <row r="7" spans="1:14" x14ac:dyDescent="0.25">
      <c r="A7" t="s">
        <v>11</v>
      </c>
      <c r="B7">
        <v>50</v>
      </c>
      <c r="C7">
        <v>84</v>
      </c>
      <c r="D7">
        <v>74</v>
      </c>
      <c r="E7">
        <v>40</v>
      </c>
      <c r="F7">
        <f t="shared" si="0"/>
        <v>248</v>
      </c>
      <c r="G7">
        <f t="shared" si="1"/>
        <v>62</v>
      </c>
      <c r="L7" t="str">
        <f t="shared" si="2"/>
        <v>Pass</v>
      </c>
    </row>
    <row r="8" spans="1:14" x14ac:dyDescent="0.25">
      <c r="A8" t="s">
        <v>12</v>
      </c>
      <c r="B8">
        <v>54</v>
      </c>
      <c r="C8">
        <v>79</v>
      </c>
      <c r="D8">
        <v>80</v>
      </c>
      <c r="E8">
        <v>47</v>
      </c>
      <c r="F8">
        <f t="shared" si="0"/>
        <v>260</v>
      </c>
      <c r="G8">
        <f t="shared" si="1"/>
        <v>65</v>
      </c>
      <c r="L8" t="str">
        <f t="shared" si="2"/>
        <v>Pass</v>
      </c>
    </row>
    <row r="9" spans="1:14" x14ac:dyDescent="0.25">
      <c r="A9" t="s">
        <v>13</v>
      </c>
      <c r="B9">
        <v>46</v>
      </c>
      <c r="C9">
        <v>43</v>
      </c>
      <c r="D9">
        <v>53</v>
      </c>
      <c r="E9">
        <v>75</v>
      </c>
      <c r="F9">
        <f t="shared" si="0"/>
        <v>217</v>
      </c>
      <c r="G9">
        <f t="shared" si="1"/>
        <v>54.25</v>
      </c>
      <c r="L9" t="str">
        <f t="shared" si="2"/>
        <v>Fail</v>
      </c>
    </row>
    <row r="10" spans="1:14" x14ac:dyDescent="0.25">
      <c r="A10" t="s">
        <v>14</v>
      </c>
      <c r="B10">
        <v>45</v>
      </c>
      <c r="C10">
        <v>88</v>
      </c>
      <c r="D10">
        <v>76</v>
      </c>
      <c r="E10">
        <v>81</v>
      </c>
      <c r="F10">
        <f t="shared" si="0"/>
        <v>290</v>
      </c>
      <c r="G10">
        <f t="shared" si="1"/>
        <v>72.5</v>
      </c>
      <c r="L10" t="str">
        <f t="shared" si="2"/>
        <v>Pass</v>
      </c>
    </row>
    <row r="16" spans="1:14" x14ac:dyDescent="0.25">
      <c r="A16" t="s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 G</dc:creator>
  <cp:lastModifiedBy>tej G</cp:lastModifiedBy>
  <dcterms:created xsi:type="dcterms:W3CDTF">2026-04-06T12:35:54Z</dcterms:created>
  <dcterms:modified xsi:type="dcterms:W3CDTF">2026-04-07T17:27:17Z</dcterms:modified>
</cp:coreProperties>
</file>